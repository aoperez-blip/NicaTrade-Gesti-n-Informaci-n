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Importación" sheetId="1" state="visible" r:id="rId3"/>
    <sheet name="Resulta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<sst xmlns="http://schemas.openxmlformats.org/spreadsheetml/2006/main" count="226" uniqueCount="137">
  <si>
    <t xml:space="preserve">No.</t>
  </si>
  <si>
    <t xml:space="preserve">Código</t>
  </si>
  <si>
    <t xml:space="preserve">Producto</t>
  </si>
  <si>
    <t xml:space="preserve">Categoría</t>
  </si>
  <si>
    <t xml:space="preserve">País Origen</t>
  </si>
  <si>
    <t xml:space="preserve">Cantidad</t>
  </si>
  <si>
    <t xml:space="preserve">Precio Unitario (USD)</t>
  </si>
  <si>
    <t xml:space="preserve">Importe Total (USD)</t>
  </si>
  <si>
    <t xml:space="preserve">Clasificación</t>
  </si>
  <si>
    <t xml:space="preserve">MEX-001</t>
  </si>
  <si>
    <t xml:space="preserve">Galletas integrales</t>
  </si>
  <si>
    <t xml:space="preserve">Alimentos</t>
  </si>
  <si>
    <t xml:space="preserve">México</t>
  </si>
  <si>
    <t xml:space="preserve">MEX-002</t>
  </si>
  <si>
    <t xml:space="preserve">Café soluble</t>
  </si>
  <si>
    <t xml:space="preserve">MEX-003</t>
  </si>
  <si>
    <t xml:space="preserve">Salsa de tomate</t>
  </si>
  <si>
    <t xml:space="preserve">MEX-004</t>
  </si>
  <si>
    <t xml:space="preserve">Atún enlatado</t>
  </si>
  <si>
    <t xml:space="preserve">MEX-005</t>
  </si>
  <si>
    <t xml:space="preserve">Aceite vegetal</t>
  </si>
  <si>
    <t xml:space="preserve">MEX-006</t>
  </si>
  <si>
    <t xml:space="preserve">Cereal de maíz</t>
  </si>
  <si>
    <t xml:space="preserve">MEX-007</t>
  </si>
  <si>
    <t xml:space="preserve">Leche en polvo</t>
  </si>
  <si>
    <t xml:space="preserve">MEX-008</t>
  </si>
  <si>
    <t xml:space="preserve">Frijoles enlatados</t>
  </si>
  <si>
    <t xml:space="preserve">MEX-009</t>
  </si>
  <si>
    <t xml:space="preserve">Mayonesa</t>
  </si>
  <si>
    <t xml:space="preserve">MEX-010</t>
  </si>
  <si>
    <t xml:space="preserve">Mermelada de fresa</t>
  </si>
  <si>
    <t xml:space="preserve">MEX-011</t>
  </si>
  <si>
    <t xml:space="preserve">Chocolate en polvo</t>
  </si>
  <si>
    <t xml:space="preserve">MEX-012</t>
  </si>
  <si>
    <t xml:space="preserve">Harina de trigo</t>
  </si>
  <si>
    <t xml:space="preserve">MEX-013</t>
  </si>
  <si>
    <t xml:space="preserve">Pasta alimenticia</t>
  </si>
  <si>
    <t xml:space="preserve">MEX-014</t>
  </si>
  <si>
    <t xml:space="preserve">Galletas saladas</t>
  </si>
  <si>
    <t xml:space="preserve">MEX-015</t>
  </si>
  <si>
    <t xml:space="preserve">Salsa picante</t>
  </si>
  <si>
    <t xml:space="preserve">MEX-016</t>
  </si>
  <si>
    <t xml:space="preserve">Bebida energética</t>
  </si>
  <si>
    <t xml:space="preserve">Bebidas</t>
  </si>
  <si>
    <t xml:space="preserve">MEX-017</t>
  </si>
  <si>
    <t xml:space="preserve">Jugo de naranja</t>
  </si>
  <si>
    <t xml:space="preserve">MEX-018</t>
  </si>
  <si>
    <t xml:space="preserve">Agua embotellada</t>
  </si>
  <si>
    <t xml:space="preserve">MEX-019</t>
  </si>
  <si>
    <t xml:space="preserve">Té instantáneo</t>
  </si>
  <si>
    <t xml:space="preserve">MEX-020</t>
  </si>
  <si>
    <t xml:space="preserve">Bebida de frutas</t>
  </si>
  <si>
    <t xml:space="preserve">MEX-021</t>
  </si>
  <si>
    <t xml:space="preserve">Detergente líquido</t>
  </si>
  <si>
    <t xml:space="preserve">Limpieza</t>
  </si>
  <si>
    <t xml:space="preserve">MEX-022</t>
  </si>
  <si>
    <t xml:space="preserve">Jabón para ropa</t>
  </si>
  <si>
    <t xml:space="preserve">MEX-023</t>
  </si>
  <si>
    <t xml:space="preserve">Limpiador multiuso</t>
  </si>
  <si>
    <t xml:space="preserve">MEX-024</t>
  </si>
  <si>
    <t xml:space="preserve">Cloro doméstico</t>
  </si>
  <si>
    <t xml:space="preserve">MEX-025</t>
  </si>
  <si>
    <t xml:space="preserve">Suavizante</t>
  </si>
  <si>
    <t xml:space="preserve">MEX-026</t>
  </si>
  <si>
    <t xml:space="preserve">Papel higiénico</t>
  </si>
  <si>
    <t xml:space="preserve">Hogar</t>
  </si>
  <si>
    <t xml:space="preserve">MEX-027</t>
  </si>
  <si>
    <t xml:space="preserve">Servilletas</t>
  </si>
  <si>
    <t xml:space="preserve">MEX-028</t>
  </si>
  <si>
    <t xml:space="preserve">Bolsas para basura</t>
  </si>
  <si>
    <t xml:space="preserve">MEX-029</t>
  </si>
  <si>
    <t xml:space="preserve">Toallas de cocina</t>
  </si>
  <si>
    <t xml:space="preserve">MEX-030</t>
  </si>
  <si>
    <t xml:space="preserve">Envases plásticos</t>
  </si>
  <si>
    <t xml:space="preserve">MEX-031</t>
  </si>
  <si>
    <t xml:space="preserve">Cuadernos</t>
  </si>
  <si>
    <t xml:space="preserve">Oficina</t>
  </si>
  <si>
    <t xml:space="preserve">MEX-032</t>
  </si>
  <si>
    <t xml:space="preserve">Carpetas</t>
  </si>
  <si>
    <t xml:space="preserve">MEX-033</t>
  </si>
  <si>
    <t xml:space="preserve">Bolígrafos</t>
  </si>
  <si>
    <t xml:space="preserve">MEX-034</t>
  </si>
  <si>
    <t xml:space="preserve">Marcadores</t>
  </si>
  <si>
    <t xml:space="preserve">MEX-035</t>
  </si>
  <si>
    <t xml:space="preserve">Papel bond</t>
  </si>
  <si>
    <t xml:space="preserve">MEX-036</t>
  </si>
  <si>
    <t xml:space="preserve">Calculadoras</t>
  </si>
  <si>
    <t xml:space="preserve">MEX-037</t>
  </si>
  <si>
    <t xml:space="preserve">Memorias USB</t>
  </si>
  <si>
    <t xml:space="preserve">Tecnología</t>
  </si>
  <si>
    <t xml:space="preserve">MEX-038</t>
  </si>
  <si>
    <t xml:space="preserve">Teclados USB</t>
  </si>
  <si>
    <t xml:space="preserve">MEX-039</t>
  </si>
  <si>
    <t xml:space="preserve">Mouse inalámbrico</t>
  </si>
  <si>
    <t xml:space="preserve">MEX-040</t>
  </si>
  <si>
    <t xml:space="preserve">Audífonos</t>
  </si>
  <si>
    <t xml:space="preserve">MEX-041</t>
  </si>
  <si>
    <t xml:space="preserve">Cargadores USB</t>
  </si>
  <si>
    <t xml:space="preserve">MEX-042</t>
  </si>
  <si>
    <t xml:space="preserve">Cables HDMI</t>
  </si>
  <si>
    <t xml:space="preserve">MEX-043</t>
  </si>
  <si>
    <t xml:space="preserve">Mochilas</t>
  </si>
  <si>
    <t xml:space="preserve">Accesorios</t>
  </si>
  <si>
    <t xml:space="preserve">MEX-044</t>
  </si>
  <si>
    <t xml:space="preserve">Bolsos deportivos</t>
  </si>
  <si>
    <t xml:space="preserve">MEX-045</t>
  </si>
  <si>
    <t xml:space="preserve">Gorras</t>
  </si>
  <si>
    <t xml:space="preserve">Guatemala</t>
  </si>
  <si>
    <t xml:space="preserve">MEX-046</t>
  </si>
  <si>
    <t xml:space="preserve">Paraguas</t>
  </si>
  <si>
    <t xml:space="preserve">Costa Rica</t>
  </si>
  <si>
    <t xml:space="preserve">MEX-047</t>
  </si>
  <si>
    <t xml:space="preserve">Lentes de sol</t>
  </si>
  <si>
    <t xml:space="preserve">El Salvador</t>
  </si>
  <si>
    <t xml:space="preserve">MEX-048</t>
  </si>
  <si>
    <t xml:space="preserve">Botellas reutilizables</t>
  </si>
  <si>
    <t xml:space="preserve">MEX-049</t>
  </si>
  <si>
    <t xml:space="preserve">Termos</t>
  </si>
  <si>
    <t xml:space="preserve">MEX-050</t>
  </si>
  <si>
    <t xml:space="preserve">Organizadores</t>
  </si>
  <si>
    <t xml:space="preserve">Resultados del Análisis — Importación México → Nicaragua</t>
  </si>
  <si>
    <t xml:space="preserve">NicaTrade International — Hoja Datos_Importación</t>
  </si>
  <si>
    <t xml:space="preserve">Indicador</t>
  </si>
  <si>
    <t xml:space="preserve">Valor</t>
  </si>
  <si>
    <t xml:space="preserve">Importe total de la operación (USD)</t>
  </si>
  <si>
    <t xml:space="preserve">Precio promedio de los productos (USD)</t>
  </si>
  <si>
    <t xml:space="preserve">Cantidad de productos registrados</t>
  </si>
  <si>
    <t xml:space="preserve">Importe correspondiente a productos de México (USD)</t>
  </si>
  <si>
    <t xml:space="preserve">Producto con mayor importe</t>
  </si>
  <si>
    <t xml:space="preserve">Importe del producto con mayor importe (USD)</t>
  </si>
  <si>
    <t xml:space="preserve">Preguntas de Reflexión</t>
  </si>
  <si>
    <t xml:space="preserve">1. ¿Cuál es el importe total de la operación?</t>
  </si>
  <si>
    <t xml:space="preserve">2. ¿Cuál es el producto con mayor importe?</t>
  </si>
  <si>
    <t xml:space="preserve">3. ¿Cuál es el precio promedio?</t>
  </si>
  <si>
    <t xml:space="preserve">4. ¿Cuántos productos están registrados?</t>
  </si>
  <si>
    <t xml:space="preserve">5. ¿Por qué es importante analizar esta información antes de realizar una operación comercial?</t>
  </si>
  <si>
    <t xml:space="preserve">Analizar la información antes de realizar una operación comercial permite tomar decisiones basadas en datos reales: conocer el costo total de la importación, identificar qué productos representan mayor inversión, verificar el origen de los productos y anticipar riesgos financieros. Esto ayuda a NicaTrade International a planificar mejor sus recursos, negociar con proveedores, fijar precios de venta adecuados y evitar pérdidas por falta de control en la información.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</si>
</sst>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1" width="13"/>
    <col collapsed="false" customWidth="true" hidden="false" outlineLevel="0" max="6" min="6" style="0" width="10"/>
    <col collapsed="false" customWidth="true" hidden="false" outlineLevel="0" max="9" min="7" style="0" width="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25" hidden="false" customHeight="false" outlineLevel="0" collapsed="false">
      <c r="A2" s="3" t="n">
        <v>1</v>
      </c>
      <c r="B2" s="3" t="s">
        <v>9</v>
      </c>
      <c r="C2" s="4" t="s">
        <v>10</v>
      </c>
      <c r="D2" s="4" t="s">
        <v>11</v>
      </c>
      <c r="E2" s="3" t="s">
        <v>12</v>
      </c>
      <c r="F2" s="5" t="n">
        <v>120</v>
      </c>
      <c r="G2" s="6" t="n">
        <v>4.5</v>
      </c>
      <c r="H2" s="6" t="n">
        <f aca="false">F2*G2</f>
        <v>540</v>
      </c>
      <c r="I2" s="4" t="str">
        <f aca="false">IF(H2&gt;1000,"Importe Alto","Importe Normal")</f>
        <v>Importe Normal</v>
      </c>
    </row>
    <row r="3" customFormat="false" ht="14.25" hidden="false" customHeight="false" outlineLevel="0" collapsed="false">
      <c r="A3" s="3" t="n">
        <v>2</v>
      </c>
      <c r="B3" s="3" t="s">
        <v>13</v>
      </c>
      <c r="C3" s="4" t="s">
        <v>14</v>
      </c>
      <c r="D3" s="4" t="s">
        <v>11</v>
      </c>
      <c r="E3" s="3" t="s">
        <v>12</v>
      </c>
      <c r="F3" s="5" t="n">
        <v>85</v>
      </c>
      <c r="G3" s="6" t="n">
        <v>8.75</v>
      </c>
      <c r="H3" s="6" t="n">
        <f aca="false">F3*G3</f>
        <v>743.75</v>
      </c>
      <c r="I3" s="4" t="str">
        <f aca="false">IF(H3&gt;1000,"Importe Alto","Importe Normal")</f>
        <v>Importe Normal</v>
      </c>
    </row>
    <row r="4" customFormat="false" ht="14.25" hidden="false" customHeight="false" outlineLevel="0" collapsed="false">
      <c r="A4" s="3" t="n">
        <v>3</v>
      </c>
      <c r="B4" s="3" t="s">
        <v>15</v>
      </c>
      <c r="C4" s="4" t="s">
        <v>16</v>
      </c>
      <c r="D4" s="4" t="s">
        <v>11</v>
      </c>
      <c r="E4" s="3" t="s">
        <v>12</v>
      </c>
      <c r="F4" s="5" t="n">
        <v>150</v>
      </c>
      <c r="G4" s="6" t="n">
        <v>3.2</v>
      </c>
      <c r="H4" s="6" t="n">
        <f aca="false">F4*G4</f>
        <v>480</v>
      </c>
      <c r="I4" s="4" t="str">
        <f aca="false">IF(H4&gt;1000,"Importe Alto","Importe Normal")</f>
        <v>Importe Normal</v>
      </c>
    </row>
    <row r="5" customFormat="false" ht="14.25" hidden="false" customHeight="false" outlineLevel="0" collapsed="false">
      <c r="A5" s="3" t="n">
        <v>4</v>
      </c>
      <c r="B5" s="3" t="s">
        <v>17</v>
      </c>
      <c r="C5" s="4" t="s">
        <v>18</v>
      </c>
      <c r="D5" s="4" t="s">
        <v>11</v>
      </c>
      <c r="E5" s="3" t="s">
        <v>12</v>
      </c>
      <c r="F5" s="5" t="n">
        <v>200</v>
      </c>
      <c r="G5" s="6" t="n">
        <v>2.85</v>
      </c>
      <c r="H5" s="6" t="n">
        <f aca="false">F5*G5</f>
        <v>570</v>
      </c>
      <c r="I5" s="4" t="str">
        <f aca="false">IF(H5&gt;1000,"Importe Alto","Importe Normal")</f>
        <v>Importe Normal</v>
      </c>
    </row>
    <row r="6" customFormat="false" ht="14.25" hidden="false" customHeight="false" outlineLevel="0" collapsed="false">
      <c r="A6" s="3" t="n">
        <v>5</v>
      </c>
      <c r="B6" s="3" t="s">
        <v>19</v>
      </c>
      <c r="C6" s="4" t="s">
        <v>20</v>
      </c>
      <c r="D6" s="4" t="s">
        <v>11</v>
      </c>
      <c r="E6" s="3" t="s">
        <v>12</v>
      </c>
      <c r="F6" s="5" t="n">
        <v>180</v>
      </c>
      <c r="G6" s="6" t="n">
        <v>5.4</v>
      </c>
      <c r="H6" s="6" t="n">
        <f aca="false">F6*G6</f>
        <v>972</v>
      </c>
      <c r="I6" s="4" t="str">
        <f aca="false">IF(H6&gt;1000,"Importe Alto","Importe Normal")</f>
        <v>Importe Normal</v>
      </c>
    </row>
    <row r="7" customFormat="false" ht="14.25" hidden="false" customHeight="false" outlineLevel="0" collapsed="false">
      <c r="A7" s="3" t="n">
        <v>6</v>
      </c>
      <c r="B7" s="3" t="s">
        <v>21</v>
      </c>
      <c r="C7" s="4" t="s">
        <v>22</v>
      </c>
      <c r="D7" s="4" t="s">
        <v>11</v>
      </c>
      <c r="E7" s="3" t="s">
        <v>12</v>
      </c>
      <c r="F7" s="5" t="n">
        <v>95</v>
      </c>
      <c r="G7" s="6" t="n">
        <v>6.8</v>
      </c>
      <c r="H7" s="6" t="n">
        <f aca="false">F7*G7</f>
        <v>646</v>
      </c>
      <c r="I7" s="4" t="str">
        <f aca="false">IF(H7&gt;1000,"Importe Alto","Importe Normal")</f>
        <v>Importe Normal</v>
      </c>
    </row>
    <row r="8" customFormat="false" ht="14.25" hidden="false" customHeight="false" outlineLevel="0" collapsed="false">
      <c r="A8" s="3" t="n">
        <v>7</v>
      </c>
      <c r="B8" s="3" t="s">
        <v>23</v>
      </c>
      <c r="C8" s="4" t="s">
        <v>24</v>
      </c>
      <c r="D8" s="4" t="s">
        <v>11</v>
      </c>
      <c r="E8" s="3" t="s">
        <v>12</v>
      </c>
      <c r="F8" s="5" t="n">
        <v>110</v>
      </c>
      <c r="G8" s="6" t="n">
        <v>9.5</v>
      </c>
      <c r="H8" s="6" t="n">
        <f aca="false">F8*G8</f>
        <v>1045</v>
      </c>
      <c r="I8" s="4" t="str">
        <f aca="false">IF(H8&gt;1000,"Importe Alto","Importe Normal")</f>
        <v>Importe Alto</v>
      </c>
    </row>
    <row r="9" customFormat="false" ht="14.25" hidden="false" customHeight="false" outlineLevel="0" collapsed="false">
      <c r="A9" s="3" t="n">
        <v>8</v>
      </c>
      <c r="B9" s="3" t="s">
        <v>25</v>
      </c>
      <c r="C9" s="4" t="s">
        <v>26</v>
      </c>
      <c r="D9" s="4" t="s">
        <v>11</v>
      </c>
      <c r="E9" s="3" t="s">
        <v>12</v>
      </c>
      <c r="F9" s="5" t="n">
        <v>160</v>
      </c>
      <c r="G9" s="6" t="n">
        <v>3.75</v>
      </c>
      <c r="H9" s="6" t="n">
        <f aca="false">F9*G9</f>
        <v>600</v>
      </c>
      <c r="I9" s="4" t="str">
        <f aca="false">IF(H9&gt;1000,"Importe Alto","Importe Normal")</f>
        <v>Importe Normal</v>
      </c>
    </row>
    <row r="10" customFormat="false" ht="14.25" hidden="false" customHeight="false" outlineLevel="0" collapsed="false">
      <c r="A10" s="3" t="n">
        <v>9</v>
      </c>
      <c r="B10" s="3" t="s">
        <v>27</v>
      </c>
      <c r="C10" s="4" t="s">
        <v>28</v>
      </c>
      <c r="D10" s="4" t="s">
        <v>11</v>
      </c>
      <c r="E10" s="3" t="s">
        <v>12</v>
      </c>
      <c r="F10" s="5" t="n">
        <v>130</v>
      </c>
      <c r="G10" s="6" t="n">
        <v>4.25</v>
      </c>
      <c r="H10" s="6" t="n">
        <f aca="false">F10*G10</f>
        <v>552.5</v>
      </c>
      <c r="I10" s="4" t="str">
        <f aca="false">IF(H10&gt;1000,"Importe Alto","Importe Normal")</f>
        <v>Importe Normal</v>
      </c>
    </row>
    <row r="11" customFormat="false" ht="14.25" hidden="false" customHeight="false" outlineLevel="0" collapsed="false">
      <c r="A11" s="3" t="n">
        <v>10</v>
      </c>
      <c r="B11" s="3" t="s">
        <v>29</v>
      </c>
      <c r="C11" s="4" t="s">
        <v>30</v>
      </c>
      <c r="D11" s="4" t="s">
        <v>11</v>
      </c>
      <c r="E11" s="3" t="s">
        <v>12</v>
      </c>
      <c r="F11" s="5" t="n">
        <v>90</v>
      </c>
      <c r="G11" s="6" t="n">
        <v>5.6</v>
      </c>
      <c r="H11" s="6" t="n">
        <f aca="false">F11*G11</f>
        <v>504</v>
      </c>
      <c r="I11" s="4" t="str">
        <f aca="false">IF(H11&gt;1000,"Importe Alto","Importe Normal")</f>
        <v>Importe Normal</v>
      </c>
    </row>
    <row r="12" customFormat="false" ht="14.25" hidden="false" customHeight="false" outlineLevel="0" collapsed="false">
      <c r="A12" s="3" t="n">
        <v>11</v>
      </c>
      <c r="B12" s="3" t="s">
        <v>31</v>
      </c>
      <c r="C12" s="4" t="s">
        <v>32</v>
      </c>
      <c r="D12" s="4" t="s">
        <v>11</v>
      </c>
      <c r="E12" s="3" t="s">
        <v>12</v>
      </c>
      <c r="F12" s="5" t="n">
        <v>75</v>
      </c>
      <c r="G12" s="6" t="n">
        <v>7.25</v>
      </c>
      <c r="H12" s="6" t="n">
        <f aca="false">F12*G12</f>
        <v>543.75</v>
      </c>
      <c r="I12" s="4" t="str">
        <f aca="false">IF(H12&gt;1000,"Importe Alto","Importe Normal")</f>
        <v>Importe Normal</v>
      </c>
    </row>
    <row r="13" customFormat="false" ht="14.25" hidden="false" customHeight="false" outlineLevel="0" collapsed="false">
      <c r="A13" s="3" t="n">
        <v>12</v>
      </c>
      <c r="B13" s="3" t="s">
        <v>33</v>
      </c>
      <c r="C13" s="4" t="s">
        <v>34</v>
      </c>
      <c r="D13" s="4" t="s">
        <v>11</v>
      </c>
      <c r="E13" s="3" t="s">
        <v>12</v>
      </c>
      <c r="F13" s="5" t="n">
        <v>220</v>
      </c>
      <c r="G13" s="6" t="n">
        <v>2.9</v>
      </c>
      <c r="H13" s="6" t="n">
        <f aca="false">F13*G13</f>
        <v>638</v>
      </c>
      <c r="I13" s="4" t="str">
        <f aca="false">IF(H13&gt;1000,"Importe Alto","Importe Normal")</f>
        <v>Importe Normal</v>
      </c>
    </row>
    <row r="14" customFormat="false" ht="14.25" hidden="false" customHeight="false" outlineLevel="0" collapsed="false">
      <c r="A14" s="3" t="n">
        <v>13</v>
      </c>
      <c r="B14" s="3" t="s">
        <v>35</v>
      </c>
      <c r="C14" s="4" t="s">
        <v>36</v>
      </c>
      <c r="D14" s="4" t="s">
        <v>11</v>
      </c>
      <c r="E14" s="3" t="s">
        <v>12</v>
      </c>
      <c r="F14" s="5" t="n">
        <v>250</v>
      </c>
      <c r="G14" s="6" t="n">
        <v>2.4</v>
      </c>
      <c r="H14" s="6" t="n">
        <f aca="false">F14*G14</f>
        <v>600</v>
      </c>
      <c r="I14" s="4" t="str">
        <f aca="false">IF(H14&gt;1000,"Importe Alto","Importe Normal")</f>
        <v>Importe Normal</v>
      </c>
    </row>
    <row r="15" customFormat="false" ht="14.25" hidden="false" customHeight="false" outlineLevel="0" collapsed="false">
      <c r="A15" s="3" t="n">
        <v>14</v>
      </c>
      <c r="B15" s="3" t="s">
        <v>37</v>
      </c>
      <c r="C15" s="4" t="s">
        <v>38</v>
      </c>
      <c r="D15" s="4" t="s">
        <v>11</v>
      </c>
      <c r="E15" s="3" t="s">
        <v>12</v>
      </c>
      <c r="F15" s="5" t="n">
        <v>140</v>
      </c>
      <c r="G15" s="6" t="n">
        <v>3.85</v>
      </c>
      <c r="H15" s="6" t="n">
        <f aca="false">F15*G15</f>
        <v>539</v>
      </c>
      <c r="I15" s="4" t="str">
        <f aca="false">IF(H15&gt;1000,"Importe Alto","Importe Normal")</f>
        <v>Importe Normal</v>
      </c>
    </row>
    <row r="16" customFormat="false" ht="14.25" hidden="false" customHeight="false" outlineLevel="0" collapsed="false">
      <c r="A16" s="3" t="n">
        <v>15</v>
      </c>
      <c r="B16" s="3" t="s">
        <v>39</v>
      </c>
      <c r="C16" s="4" t="s">
        <v>40</v>
      </c>
      <c r="D16" s="4" t="s">
        <v>11</v>
      </c>
      <c r="E16" s="3" t="s">
        <v>12</v>
      </c>
      <c r="F16" s="5" t="n">
        <v>100</v>
      </c>
      <c r="G16" s="6" t="n">
        <v>4.9</v>
      </c>
      <c r="H16" s="6" t="n">
        <f aca="false">F16*G16</f>
        <v>490</v>
      </c>
      <c r="I16" s="4" t="str">
        <f aca="false">IF(H16&gt;1000,"Importe Alto","Importe Normal")</f>
        <v>Importe Normal</v>
      </c>
    </row>
    <row r="17" customFormat="false" ht="14.25" hidden="false" customHeight="false" outlineLevel="0" collapsed="false">
      <c r="A17" s="3" t="n">
        <v>16</v>
      </c>
      <c r="B17" s="3" t="s">
        <v>41</v>
      </c>
      <c r="C17" s="4" t="s">
        <v>42</v>
      </c>
      <c r="D17" s="4" t="s">
        <v>43</v>
      </c>
      <c r="E17" s="3" t="s">
        <v>12</v>
      </c>
      <c r="F17" s="5" t="n">
        <v>180</v>
      </c>
      <c r="G17" s="6" t="n">
        <v>3.6</v>
      </c>
      <c r="H17" s="6" t="n">
        <f aca="false">F17*G17</f>
        <v>648</v>
      </c>
      <c r="I17" s="4" t="str">
        <f aca="false">IF(H17&gt;1000,"Importe Alto","Importe Normal")</f>
        <v>Importe Normal</v>
      </c>
    </row>
    <row r="18" customFormat="false" ht="14.25" hidden="false" customHeight="false" outlineLevel="0" collapsed="false">
      <c r="A18" s="3" t="n">
        <v>17</v>
      </c>
      <c r="B18" s="3" t="s">
        <v>44</v>
      </c>
      <c r="C18" s="4" t="s">
        <v>45</v>
      </c>
      <c r="D18" s="4" t="s">
        <v>43</v>
      </c>
      <c r="E18" s="3" t="s">
        <v>12</v>
      </c>
      <c r="F18" s="5" t="n">
        <v>160</v>
      </c>
      <c r="G18" s="6" t="n">
        <v>3.25</v>
      </c>
      <c r="H18" s="6" t="n">
        <f aca="false">F18*G18</f>
        <v>520</v>
      </c>
      <c r="I18" s="4" t="str">
        <f aca="false">IF(H18&gt;1000,"Importe Alto","Importe Normal")</f>
        <v>Importe Normal</v>
      </c>
    </row>
    <row r="19" customFormat="false" ht="14.25" hidden="false" customHeight="false" outlineLevel="0" collapsed="false">
      <c r="A19" s="3" t="n">
        <v>18</v>
      </c>
      <c r="B19" s="3" t="s">
        <v>46</v>
      </c>
      <c r="C19" s="4" t="s">
        <v>47</v>
      </c>
      <c r="D19" s="4" t="s">
        <v>43</v>
      </c>
      <c r="E19" s="3" t="s">
        <v>12</v>
      </c>
      <c r="F19" s="5" t="n">
        <v>300</v>
      </c>
      <c r="G19" s="6" t="n">
        <v>1.8</v>
      </c>
      <c r="H19" s="6" t="n">
        <f aca="false">F19*G19</f>
        <v>540</v>
      </c>
      <c r="I19" s="4" t="str">
        <f aca="false">IF(H19&gt;1000,"Importe Alto","Importe Normal")</f>
        <v>Importe Normal</v>
      </c>
    </row>
    <row r="20" customFormat="false" ht="14.25" hidden="false" customHeight="false" outlineLevel="0" collapsed="false">
      <c r="A20" s="3" t="n">
        <v>19</v>
      </c>
      <c r="B20" s="3" t="s">
        <v>48</v>
      </c>
      <c r="C20" s="4" t="s">
        <v>49</v>
      </c>
      <c r="D20" s="4" t="s">
        <v>43</v>
      </c>
      <c r="E20" s="3" t="s">
        <v>12</v>
      </c>
      <c r="F20" s="5" t="n">
        <v>80</v>
      </c>
      <c r="G20" s="6" t="n">
        <v>5.75</v>
      </c>
      <c r="H20" s="6" t="n">
        <f aca="false">F20*G20</f>
        <v>460</v>
      </c>
      <c r="I20" s="4" t="str">
        <f aca="false">IF(H20&gt;1000,"Importe Alto","Importe Normal")</f>
        <v>Importe Normal</v>
      </c>
    </row>
    <row r="21" customFormat="false" ht="14.25" hidden="false" customHeight="false" outlineLevel="0" collapsed="false">
      <c r="A21" s="3" t="n">
        <v>20</v>
      </c>
      <c r="B21" s="3" t="s">
        <v>50</v>
      </c>
      <c r="C21" s="4" t="s">
        <v>51</v>
      </c>
      <c r="D21" s="4" t="s">
        <v>43</v>
      </c>
      <c r="E21" s="3" t="s">
        <v>12</v>
      </c>
      <c r="F21" s="5" t="n">
        <v>125</v>
      </c>
      <c r="G21" s="6" t="n">
        <v>3.95</v>
      </c>
      <c r="H21" s="6" t="n">
        <f aca="false">F21*G21</f>
        <v>493.75</v>
      </c>
      <c r="I21" s="4" t="str">
        <f aca="false">IF(H21&gt;1000,"Importe Alto","Importe Normal")</f>
        <v>Importe Normal</v>
      </c>
    </row>
    <row r="22" customFormat="false" ht="14.25" hidden="false" customHeight="false" outlineLevel="0" collapsed="false">
      <c r="A22" s="3" t="n">
        <v>21</v>
      </c>
      <c r="B22" s="3" t="s">
        <v>52</v>
      </c>
      <c r="C22" s="4" t="s">
        <v>53</v>
      </c>
      <c r="D22" s="4" t="s">
        <v>54</v>
      </c>
      <c r="E22" s="3" t="s">
        <v>12</v>
      </c>
      <c r="F22" s="5" t="n">
        <v>90</v>
      </c>
      <c r="G22" s="6" t="n">
        <v>8.5</v>
      </c>
      <c r="H22" s="6" t="n">
        <f aca="false">F22*G22</f>
        <v>765</v>
      </c>
      <c r="I22" s="4" t="str">
        <f aca="false">IF(H22&gt;1000,"Importe Alto","Importe Normal")</f>
        <v>Importe Normal</v>
      </c>
    </row>
    <row r="23" customFormat="false" ht="14.25" hidden="false" customHeight="false" outlineLevel="0" collapsed="false">
      <c r="A23" s="3" t="n">
        <v>22</v>
      </c>
      <c r="B23" s="3" t="s">
        <v>55</v>
      </c>
      <c r="C23" s="4" t="s">
        <v>56</v>
      </c>
      <c r="D23" s="4" t="s">
        <v>54</v>
      </c>
      <c r="E23" s="3" t="s">
        <v>12</v>
      </c>
      <c r="F23" s="5" t="n">
        <v>150</v>
      </c>
      <c r="G23" s="6" t="n">
        <v>4.8</v>
      </c>
      <c r="H23" s="6" t="n">
        <f aca="false">F23*G23</f>
        <v>720</v>
      </c>
      <c r="I23" s="4" t="str">
        <f aca="false">IF(H23&gt;1000,"Importe Alto","Importe Normal")</f>
        <v>Importe Normal</v>
      </c>
    </row>
    <row r="24" customFormat="false" ht="14.25" hidden="false" customHeight="false" outlineLevel="0" collapsed="false">
      <c r="A24" s="3" t="n">
        <v>23</v>
      </c>
      <c r="B24" s="3" t="s">
        <v>57</v>
      </c>
      <c r="C24" s="4" t="s">
        <v>58</v>
      </c>
      <c r="D24" s="4" t="s">
        <v>54</v>
      </c>
      <c r="E24" s="3" t="s">
        <v>12</v>
      </c>
      <c r="F24" s="5" t="n">
        <v>130</v>
      </c>
      <c r="G24" s="6" t="n">
        <v>5.25</v>
      </c>
      <c r="H24" s="6" t="n">
        <f aca="false">F24*G24</f>
        <v>682.5</v>
      </c>
      <c r="I24" s="4" t="str">
        <f aca="false">IF(H24&gt;1000,"Importe Alto","Importe Normal")</f>
        <v>Importe Normal</v>
      </c>
    </row>
    <row r="25" customFormat="false" ht="14.25" hidden="false" customHeight="false" outlineLevel="0" collapsed="false">
      <c r="A25" s="3" t="n">
        <v>24</v>
      </c>
      <c r="B25" s="3" t="s">
        <v>59</v>
      </c>
      <c r="C25" s="4" t="s">
        <v>60</v>
      </c>
      <c r="D25" s="4" t="s">
        <v>54</v>
      </c>
      <c r="E25" s="3" t="s">
        <v>12</v>
      </c>
      <c r="F25" s="5" t="n">
        <v>180</v>
      </c>
      <c r="G25" s="6" t="n">
        <v>2.95</v>
      </c>
      <c r="H25" s="6" t="n">
        <f aca="false">F25*G25</f>
        <v>531</v>
      </c>
      <c r="I25" s="4" t="str">
        <f aca="false">IF(H25&gt;1000,"Importe Alto","Importe Normal")</f>
        <v>Importe Normal</v>
      </c>
    </row>
    <row r="26" customFormat="false" ht="14.25" hidden="false" customHeight="false" outlineLevel="0" collapsed="false">
      <c r="A26" s="3" t="n">
        <v>25</v>
      </c>
      <c r="B26" s="3" t="s">
        <v>61</v>
      </c>
      <c r="C26" s="4" t="s">
        <v>62</v>
      </c>
      <c r="D26" s="4" t="s">
        <v>54</v>
      </c>
      <c r="E26" s="3" t="s">
        <v>12</v>
      </c>
      <c r="F26" s="5" t="n">
        <v>100</v>
      </c>
      <c r="G26" s="6" t="n">
        <v>7.4</v>
      </c>
      <c r="H26" s="6" t="n">
        <f aca="false">F26*G26</f>
        <v>740</v>
      </c>
      <c r="I26" s="4" t="str">
        <f aca="false">IF(H26&gt;1000,"Importe Alto","Importe Normal")</f>
        <v>Importe Normal</v>
      </c>
    </row>
    <row r="27" customFormat="false" ht="14.25" hidden="false" customHeight="false" outlineLevel="0" collapsed="false">
      <c r="A27" s="3" t="n">
        <v>26</v>
      </c>
      <c r="B27" s="3" t="s">
        <v>63</v>
      </c>
      <c r="C27" s="4" t="s">
        <v>64</v>
      </c>
      <c r="D27" s="4" t="s">
        <v>65</v>
      </c>
      <c r="E27" s="3" t="s">
        <v>12</v>
      </c>
      <c r="F27" s="5" t="n">
        <v>200</v>
      </c>
      <c r="G27" s="6" t="n">
        <v>6.25</v>
      </c>
      <c r="H27" s="6" t="n">
        <f aca="false">F27*G27</f>
        <v>1250</v>
      </c>
      <c r="I27" s="4" t="str">
        <f aca="false">IF(H27&gt;1000,"Importe Alto","Importe Normal")</f>
        <v>Importe Alto</v>
      </c>
    </row>
    <row r="28" customFormat="false" ht="14.25" hidden="false" customHeight="false" outlineLevel="0" collapsed="false">
      <c r="A28" s="3" t="n">
        <v>27</v>
      </c>
      <c r="B28" s="3" t="s">
        <v>66</v>
      </c>
      <c r="C28" s="4" t="s">
        <v>67</v>
      </c>
      <c r="D28" s="4" t="s">
        <v>65</v>
      </c>
      <c r="E28" s="3" t="s">
        <v>12</v>
      </c>
      <c r="F28" s="5" t="n">
        <v>175</v>
      </c>
      <c r="G28" s="6" t="n">
        <v>3.5</v>
      </c>
      <c r="H28" s="6" t="n">
        <f aca="false">F28*G28</f>
        <v>612.5</v>
      </c>
      <c r="I28" s="4" t="str">
        <f aca="false">IF(H28&gt;1000,"Importe Alto","Importe Normal")</f>
        <v>Importe Normal</v>
      </c>
    </row>
    <row r="29" customFormat="false" ht="14.25" hidden="false" customHeight="false" outlineLevel="0" collapsed="false">
      <c r="A29" s="3" t="n">
        <v>28</v>
      </c>
      <c r="B29" s="3" t="s">
        <v>68</v>
      </c>
      <c r="C29" s="4" t="s">
        <v>69</v>
      </c>
      <c r="D29" s="4" t="s">
        <v>65</v>
      </c>
      <c r="E29" s="3" t="s">
        <v>12</v>
      </c>
      <c r="F29" s="5" t="n">
        <v>120</v>
      </c>
      <c r="G29" s="6" t="n">
        <v>4.6</v>
      </c>
      <c r="H29" s="6" t="n">
        <f aca="false">F29*G29</f>
        <v>552</v>
      </c>
      <c r="I29" s="4" t="str">
        <f aca="false">IF(H29&gt;1000,"Importe Alto","Importe Normal")</f>
        <v>Importe Normal</v>
      </c>
    </row>
    <row r="30" customFormat="false" ht="14.25" hidden="false" customHeight="false" outlineLevel="0" collapsed="false">
      <c r="A30" s="3" t="n">
        <v>29</v>
      </c>
      <c r="B30" s="3" t="s">
        <v>70</v>
      </c>
      <c r="C30" s="4" t="s">
        <v>71</v>
      </c>
      <c r="D30" s="4" t="s">
        <v>65</v>
      </c>
      <c r="E30" s="3" t="s">
        <v>12</v>
      </c>
      <c r="F30" s="5" t="n">
        <v>140</v>
      </c>
      <c r="G30" s="6" t="n">
        <v>5.15</v>
      </c>
      <c r="H30" s="6" t="n">
        <f aca="false">F30*G30</f>
        <v>721</v>
      </c>
      <c r="I30" s="4" t="str">
        <f aca="false">IF(H30&gt;1000,"Importe Alto","Importe Normal")</f>
        <v>Importe Normal</v>
      </c>
    </row>
    <row r="31" customFormat="false" ht="14.25" hidden="false" customHeight="false" outlineLevel="0" collapsed="false">
      <c r="A31" s="3" t="n">
        <v>30</v>
      </c>
      <c r="B31" s="3" t="s">
        <v>72</v>
      </c>
      <c r="C31" s="4" t="s">
        <v>73</v>
      </c>
      <c r="D31" s="4" t="s">
        <v>65</v>
      </c>
      <c r="E31" s="3" t="s">
        <v>12</v>
      </c>
      <c r="F31" s="5" t="n">
        <v>160</v>
      </c>
      <c r="G31" s="6" t="n">
        <v>4.75</v>
      </c>
      <c r="H31" s="6" t="n">
        <f aca="false">F31*G31</f>
        <v>760</v>
      </c>
      <c r="I31" s="4" t="str">
        <f aca="false">IF(H31&gt;1000,"Importe Alto","Importe Normal")</f>
        <v>Importe Normal</v>
      </c>
    </row>
    <row r="32" customFormat="false" ht="14.25" hidden="false" customHeight="false" outlineLevel="0" collapsed="false">
      <c r="A32" s="3" t="n">
        <v>31</v>
      </c>
      <c r="B32" s="3" t="s">
        <v>74</v>
      </c>
      <c r="C32" s="4" t="s">
        <v>75</v>
      </c>
      <c r="D32" s="4" t="s">
        <v>76</v>
      </c>
      <c r="E32" s="3" t="s">
        <v>12</v>
      </c>
      <c r="F32" s="5" t="n">
        <v>250</v>
      </c>
      <c r="G32" s="6" t="n">
        <v>2.75</v>
      </c>
      <c r="H32" s="6" t="n">
        <f aca="false">F32*G32</f>
        <v>687.5</v>
      </c>
      <c r="I32" s="4" t="str">
        <f aca="false">IF(H32&gt;1000,"Importe Alto","Importe Normal")</f>
        <v>Importe Normal</v>
      </c>
    </row>
    <row r="33" customFormat="false" ht="14.25" hidden="false" customHeight="false" outlineLevel="0" collapsed="false">
      <c r="A33" s="3" t="n">
        <v>32</v>
      </c>
      <c r="B33" s="3" t="s">
        <v>77</v>
      </c>
      <c r="C33" s="4" t="s">
        <v>78</v>
      </c>
      <c r="D33" s="4" t="s">
        <v>76</v>
      </c>
      <c r="E33" s="3" t="s">
        <v>12</v>
      </c>
      <c r="F33" s="5" t="n">
        <v>180</v>
      </c>
      <c r="G33" s="6" t="n">
        <v>3.2</v>
      </c>
      <c r="H33" s="6" t="n">
        <f aca="false">F33*G33</f>
        <v>576</v>
      </c>
      <c r="I33" s="4" t="str">
        <f aca="false">IF(H33&gt;1000,"Importe Alto","Importe Normal")</f>
        <v>Importe Normal</v>
      </c>
    </row>
    <row r="34" customFormat="false" ht="14.25" hidden="false" customHeight="false" outlineLevel="0" collapsed="false">
      <c r="A34" s="3" t="n">
        <v>33</v>
      </c>
      <c r="B34" s="3" t="s">
        <v>79</v>
      </c>
      <c r="C34" s="4" t="s">
        <v>80</v>
      </c>
      <c r="D34" s="4" t="s">
        <v>76</v>
      </c>
      <c r="E34" s="3" t="s">
        <v>12</v>
      </c>
      <c r="F34" s="5" t="n">
        <v>300</v>
      </c>
      <c r="G34" s="6" t="n">
        <v>1.5</v>
      </c>
      <c r="H34" s="6" t="n">
        <f aca="false">F34*G34</f>
        <v>450</v>
      </c>
      <c r="I34" s="4" t="str">
        <f aca="false">IF(H34&gt;1000,"Importe Alto","Importe Normal")</f>
        <v>Importe Normal</v>
      </c>
    </row>
    <row r="35" customFormat="false" ht="14.25" hidden="false" customHeight="false" outlineLevel="0" collapsed="false">
      <c r="A35" s="3" t="n">
        <v>34</v>
      </c>
      <c r="B35" s="3" t="s">
        <v>81</v>
      </c>
      <c r="C35" s="4" t="s">
        <v>82</v>
      </c>
      <c r="D35" s="4" t="s">
        <v>76</v>
      </c>
      <c r="E35" s="3" t="s">
        <v>12</v>
      </c>
      <c r="F35" s="5" t="n">
        <v>150</v>
      </c>
      <c r="G35" s="6" t="n">
        <v>2.9</v>
      </c>
      <c r="H35" s="6" t="n">
        <f aca="false">F35*G35</f>
        <v>435</v>
      </c>
      <c r="I35" s="4" t="str">
        <f aca="false">IF(H35&gt;1000,"Importe Alto","Importe Normal")</f>
        <v>Importe Normal</v>
      </c>
    </row>
    <row r="36" customFormat="false" ht="14.25" hidden="false" customHeight="false" outlineLevel="0" collapsed="false">
      <c r="A36" s="3" t="n">
        <v>35</v>
      </c>
      <c r="B36" s="3" t="s">
        <v>83</v>
      </c>
      <c r="C36" s="4" t="s">
        <v>84</v>
      </c>
      <c r="D36" s="4" t="s">
        <v>76</v>
      </c>
      <c r="E36" s="3" t="s">
        <v>12</v>
      </c>
      <c r="F36" s="5" t="n">
        <v>100</v>
      </c>
      <c r="G36" s="6" t="n">
        <v>7.8</v>
      </c>
      <c r="H36" s="6" t="n">
        <f aca="false">F36*G36</f>
        <v>780</v>
      </c>
      <c r="I36" s="4" t="str">
        <f aca="false">IF(H36&gt;1000,"Importe Alto","Importe Normal")</f>
        <v>Importe Normal</v>
      </c>
    </row>
    <row r="37" customFormat="false" ht="14.25" hidden="false" customHeight="false" outlineLevel="0" collapsed="false">
      <c r="A37" s="3" t="n">
        <v>36</v>
      </c>
      <c r="B37" s="3" t="s">
        <v>85</v>
      </c>
      <c r="C37" s="4" t="s">
        <v>86</v>
      </c>
      <c r="D37" s="4" t="s">
        <v>76</v>
      </c>
      <c r="E37" s="3" t="s">
        <v>12</v>
      </c>
      <c r="F37" s="5" t="n">
        <v>70</v>
      </c>
      <c r="G37" s="6" t="n">
        <v>12.5</v>
      </c>
      <c r="H37" s="6" t="n">
        <f aca="false">F37*G37</f>
        <v>875</v>
      </c>
      <c r="I37" s="4" t="str">
        <f aca="false">IF(H37&gt;1000,"Importe Alto","Importe Normal")</f>
        <v>Importe Normal</v>
      </c>
    </row>
    <row r="38" customFormat="false" ht="14.25" hidden="false" customHeight="false" outlineLevel="0" collapsed="false">
      <c r="A38" s="3" t="n">
        <v>37</v>
      </c>
      <c r="B38" s="3" t="s">
        <v>87</v>
      </c>
      <c r="C38" s="4" t="s">
        <v>88</v>
      </c>
      <c r="D38" s="4" t="s">
        <v>89</v>
      </c>
      <c r="E38" s="3" t="s">
        <v>12</v>
      </c>
      <c r="F38" s="5" t="n">
        <v>80</v>
      </c>
      <c r="G38" s="6" t="n">
        <v>11.75</v>
      </c>
      <c r="H38" s="6" t="n">
        <f aca="false">F38*G38</f>
        <v>940</v>
      </c>
      <c r="I38" s="4" t="str">
        <f aca="false">IF(H38&gt;1000,"Importe Alto","Importe Normal")</f>
        <v>Importe Normal</v>
      </c>
    </row>
    <row r="39" customFormat="false" ht="14.25" hidden="false" customHeight="false" outlineLevel="0" collapsed="false">
      <c r="A39" s="3" t="n">
        <v>38</v>
      </c>
      <c r="B39" s="3" t="s">
        <v>90</v>
      </c>
      <c r="C39" s="4" t="s">
        <v>91</v>
      </c>
      <c r="D39" s="4" t="s">
        <v>89</v>
      </c>
      <c r="E39" s="3" t="s">
        <v>12</v>
      </c>
      <c r="F39" s="5" t="n">
        <v>60</v>
      </c>
      <c r="G39" s="6" t="n">
        <v>15.5</v>
      </c>
      <c r="H39" s="6" t="n">
        <f aca="false">F39*G39</f>
        <v>930</v>
      </c>
      <c r="I39" s="4" t="str">
        <f aca="false">IF(H39&gt;1000,"Importe Alto","Importe Normal")</f>
        <v>Importe Normal</v>
      </c>
    </row>
    <row r="40" customFormat="false" ht="14.25" hidden="false" customHeight="false" outlineLevel="0" collapsed="false">
      <c r="A40" s="3" t="n">
        <v>39</v>
      </c>
      <c r="B40" s="3" t="s">
        <v>92</v>
      </c>
      <c r="C40" s="4" t="s">
        <v>93</v>
      </c>
      <c r="D40" s="4" t="s">
        <v>89</v>
      </c>
      <c r="E40" s="3" t="s">
        <v>12</v>
      </c>
      <c r="F40" s="5" t="n">
        <v>75</v>
      </c>
      <c r="G40" s="6" t="n">
        <v>13.25</v>
      </c>
      <c r="H40" s="6" t="n">
        <f aca="false">F40*G40</f>
        <v>993.75</v>
      </c>
      <c r="I40" s="4" t="str">
        <f aca="false">IF(H40&gt;1000,"Importe Alto","Importe Normal")</f>
        <v>Importe Normal</v>
      </c>
    </row>
    <row r="41" customFormat="false" ht="14.25" hidden="false" customHeight="false" outlineLevel="0" collapsed="false">
      <c r="A41" s="3" t="n">
        <v>40</v>
      </c>
      <c r="B41" s="3" t="s">
        <v>94</v>
      </c>
      <c r="C41" s="4" t="s">
        <v>95</v>
      </c>
      <c r="D41" s="4" t="s">
        <v>89</v>
      </c>
      <c r="E41" s="3" t="s">
        <v>12</v>
      </c>
      <c r="F41" s="5" t="n">
        <v>90</v>
      </c>
      <c r="G41" s="6" t="n">
        <v>18.5</v>
      </c>
      <c r="H41" s="6" t="n">
        <f aca="false">F41*G41</f>
        <v>1665</v>
      </c>
      <c r="I41" s="4" t="str">
        <f aca="false">IF(H41&gt;1000,"Importe Alto","Importe Normal")</f>
        <v>Importe Alto</v>
      </c>
    </row>
    <row r="42" customFormat="false" ht="14.25" hidden="false" customHeight="false" outlineLevel="0" collapsed="false">
      <c r="A42" s="3" t="n">
        <v>41</v>
      </c>
      <c r="B42" s="3" t="s">
        <v>96</v>
      </c>
      <c r="C42" s="4" t="s">
        <v>97</v>
      </c>
      <c r="D42" s="4" t="s">
        <v>89</v>
      </c>
      <c r="E42" s="3" t="s">
        <v>12</v>
      </c>
      <c r="F42" s="5" t="n">
        <v>100</v>
      </c>
      <c r="G42" s="6" t="n">
        <v>9.75</v>
      </c>
      <c r="H42" s="6" t="n">
        <f aca="false">F42*G42</f>
        <v>975</v>
      </c>
      <c r="I42" s="4" t="str">
        <f aca="false">IF(H42&gt;1000,"Importe Alto","Importe Normal")</f>
        <v>Importe Normal</v>
      </c>
    </row>
    <row r="43" customFormat="false" ht="14.25" hidden="false" customHeight="false" outlineLevel="0" collapsed="false">
      <c r="A43" s="3" t="n">
        <v>42</v>
      </c>
      <c r="B43" s="3" t="s">
        <v>98</v>
      </c>
      <c r="C43" s="4" t="s">
        <v>99</v>
      </c>
      <c r="D43" s="4" t="s">
        <v>89</v>
      </c>
      <c r="E43" s="3" t="s">
        <v>12</v>
      </c>
      <c r="F43" s="5" t="n">
        <v>120</v>
      </c>
      <c r="G43" s="6" t="n">
        <v>7.5</v>
      </c>
      <c r="H43" s="6" t="n">
        <f aca="false">F43*G43</f>
        <v>900</v>
      </c>
      <c r="I43" s="4" t="str">
        <f aca="false">IF(H43&gt;1000,"Importe Alto","Importe Normal")</f>
        <v>Importe Normal</v>
      </c>
    </row>
    <row r="44" customFormat="false" ht="14.25" hidden="false" customHeight="false" outlineLevel="0" collapsed="false">
      <c r="A44" s="3" t="n">
        <v>43</v>
      </c>
      <c r="B44" s="3" t="s">
        <v>100</v>
      </c>
      <c r="C44" s="4" t="s">
        <v>101</v>
      </c>
      <c r="D44" s="4" t="s">
        <v>102</v>
      </c>
      <c r="E44" s="3" t="s">
        <v>12</v>
      </c>
      <c r="F44" s="5" t="n">
        <v>85</v>
      </c>
      <c r="G44" s="6" t="n">
        <v>22.5</v>
      </c>
      <c r="H44" s="6" t="n">
        <f aca="false">F44*G44</f>
        <v>1912.5</v>
      </c>
      <c r="I44" s="4" t="str">
        <f aca="false">IF(H44&gt;1000,"Importe Alto","Importe Normal")</f>
        <v>Importe Alto</v>
      </c>
    </row>
    <row r="45" customFormat="false" ht="14.25" hidden="false" customHeight="false" outlineLevel="0" collapsed="false">
      <c r="A45" s="3" t="n">
        <v>44</v>
      </c>
      <c r="B45" s="3" t="s">
        <v>103</v>
      </c>
      <c r="C45" s="4" t="s">
        <v>104</v>
      </c>
      <c r="D45" s="4" t="s">
        <v>102</v>
      </c>
      <c r="E45" s="3" t="s">
        <v>12</v>
      </c>
      <c r="F45" s="5" t="n">
        <v>60</v>
      </c>
      <c r="G45" s="6" t="n">
        <v>28</v>
      </c>
      <c r="H45" s="6" t="n">
        <f aca="false">F45*G45</f>
        <v>1680</v>
      </c>
      <c r="I45" s="4" t="str">
        <f aca="false">IF(H45&gt;1000,"Importe Alto","Importe Normal")</f>
        <v>Importe Alto</v>
      </c>
    </row>
    <row r="46" customFormat="false" ht="14.25" hidden="false" customHeight="false" outlineLevel="0" collapsed="false">
      <c r="A46" s="3" t="n">
        <v>45</v>
      </c>
      <c r="B46" s="3" t="s">
        <v>105</v>
      </c>
      <c r="C46" s="4" t="s">
        <v>106</v>
      </c>
      <c r="D46" s="4" t="s">
        <v>102</v>
      </c>
      <c r="E46" s="3" t="s">
        <v>107</v>
      </c>
      <c r="F46" s="5" t="n">
        <v>120</v>
      </c>
      <c r="G46" s="6" t="n">
        <v>8.75</v>
      </c>
      <c r="H46" s="6" t="n">
        <f aca="false">F46*G46</f>
        <v>1050</v>
      </c>
      <c r="I46" s="4" t="str">
        <f aca="false">IF(H46&gt;1000,"Importe Alto","Importe Normal")</f>
        <v>Importe Alto</v>
      </c>
    </row>
    <row r="47" customFormat="false" ht="14.25" hidden="false" customHeight="false" outlineLevel="0" collapsed="false">
      <c r="A47" s="3" t="n">
        <v>46</v>
      </c>
      <c r="B47" s="3" t="s">
        <v>108</v>
      </c>
      <c r="C47" s="4" t="s">
        <v>109</v>
      </c>
      <c r="D47" s="4" t="s">
        <v>102</v>
      </c>
      <c r="E47" s="3" t="s">
        <v>110</v>
      </c>
      <c r="F47" s="5" t="n">
        <v>90</v>
      </c>
      <c r="G47" s="6" t="n">
        <v>12.8</v>
      </c>
      <c r="H47" s="6" t="n">
        <f aca="false">F47*G47</f>
        <v>1152</v>
      </c>
      <c r="I47" s="4" t="str">
        <f aca="false">IF(H47&gt;1000,"Importe Alto","Importe Normal")</f>
        <v>Importe Alto</v>
      </c>
    </row>
    <row r="48" customFormat="false" ht="14.25" hidden="false" customHeight="false" outlineLevel="0" collapsed="false">
      <c r="A48" s="3" t="n">
        <v>47</v>
      </c>
      <c r="B48" s="3" t="s">
        <v>111</v>
      </c>
      <c r="C48" s="4" t="s">
        <v>112</v>
      </c>
      <c r="D48" s="4" t="s">
        <v>102</v>
      </c>
      <c r="E48" s="3" t="s">
        <v>113</v>
      </c>
      <c r="F48" s="5" t="n">
        <v>75</v>
      </c>
      <c r="G48" s="6" t="n">
        <v>16.5</v>
      </c>
      <c r="H48" s="6" t="n">
        <f aca="false">F48*G48</f>
        <v>1237.5</v>
      </c>
      <c r="I48" s="4" t="str">
        <f aca="false">IF(H48&gt;1000,"Importe Alto","Importe Normal")</f>
        <v>Importe Alto</v>
      </c>
    </row>
    <row r="49" customFormat="false" ht="14.25" hidden="false" customHeight="false" outlineLevel="0" collapsed="false">
      <c r="A49" s="3" t="n">
        <v>48</v>
      </c>
      <c r="B49" s="3" t="s">
        <v>114</v>
      </c>
      <c r="C49" s="4" t="s">
        <v>115</v>
      </c>
      <c r="D49" s="4" t="s">
        <v>102</v>
      </c>
      <c r="E49" s="3" t="s">
        <v>12</v>
      </c>
      <c r="F49" s="5" t="n">
        <v>110</v>
      </c>
      <c r="G49" s="6" t="n">
        <v>9.25</v>
      </c>
      <c r="H49" s="6" t="n">
        <f aca="false">F49*G49</f>
        <v>1017.5</v>
      </c>
      <c r="I49" s="4" t="str">
        <f aca="false">IF(H49&gt;1000,"Importe Alto","Importe Normal")</f>
        <v>Importe Alto</v>
      </c>
    </row>
    <row r="50" customFormat="false" ht="14.25" hidden="false" customHeight="false" outlineLevel="0" collapsed="false">
      <c r="A50" s="3" t="n">
        <v>49</v>
      </c>
      <c r="B50" s="3" t="s">
        <v>116</v>
      </c>
      <c r="C50" s="4" t="s">
        <v>117</v>
      </c>
      <c r="D50" s="4" t="s">
        <v>102</v>
      </c>
      <c r="E50" s="3" t="s">
        <v>12</v>
      </c>
      <c r="F50" s="5" t="n">
        <v>65</v>
      </c>
      <c r="G50" s="6" t="n">
        <v>24.5</v>
      </c>
      <c r="H50" s="6" t="n">
        <f aca="false">F50*G50</f>
        <v>1592.5</v>
      </c>
      <c r="I50" s="4" t="str">
        <f aca="false">IF(H50&gt;1000,"Importe Alto","Importe Normal")</f>
        <v>Importe Alto</v>
      </c>
    </row>
    <row r="51" customFormat="false" ht="14.25" hidden="false" customHeight="false" outlineLevel="0" collapsed="false">
      <c r="A51" s="3" t="n">
        <v>50</v>
      </c>
      <c r="B51" s="3" t="s">
        <v>118</v>
      </c>
      <c r="C51" s="4" t="s">
        <v>119</v>
      </c>
      <c r="D51" s="4" t="s">
        <v>65</v>
      </c>
      <c r="E51" s="3" t="s">
        <v>12</v>
      </c>
      <c r="F51" s="5" t="n">
        <v>100</v>
      </c>
      <c r="G51" s="6" t="n">
        <v>10.5</v>
      </c>
      <c r="H51" s="6" t="n">
        <f aca="false">F51*G51</f>
        <v>1050</v>
      </c>
      <c r="I51" s="4" t="str">
        <f aca="false">IF(H51&gt;1000,"Importe Alto","Importe Normal")</f>
        <v>Importe Alto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2"/>
    <col collapsed="false" customWidth="true" hidden="false" outlineLevel="0" max="4" min="3" style="0" width="18"/>
  </cols>
  <sheetData>
    <row r="1" customFormat="false" ht="27.75" hidden="false" customHeight="true" outlineLevel="0" collapsed="false">
      <c r="A1" s="7" t="s">
        <v>120</v>
      </c>
      <c r="B1" s="7"/>
      <c r="C1" s="7"/>
      <c r="D1" s="7"/>
    </row>
    <row r="2" customFormat="false" ht="15" hidden="false" customHeight="false" outlineLevel="0" collapsed="false">
      <c r="A2" s="8" t="s">
        <v>121</v>
      </c>
      <c r="B2" s="8"/>
      <c r="C2" s="8"/>
      <c r="D2" s="8"/>
    </row>
    <row r="4" customFormat="false" ht="15" hidden="false" customHeight="false" outlineLevel="0" collapsed="false">
      <c r="A4" s="9" t="s">
        <v>122</v>
      </c>
      <c r="B4" s="9" t="s">
        <v>123</v>
      </c>
    </row>
    <row r="5" customFormat="false" ht="15" hidden="false" customHeight="false" outlineLevel="0" collapsed="false">
      <c r="A5" s="10" t="s">
        <v>124</v>
      </c>
      <c r="B5" s="11" t="n">
        <f aca="false">SUM(Datos_Importación!H2:H51)</f>
        <v>40359</v>
      </c>
    </row>
    <row r="6" customFormat="false" ht="15" hidden="false" customHeight="false" outlineLevel="0" collapsed="false">
      <c r="A6" s="10" t="s">
        <v>125</v>
      </c>
      <c r="B6" s="11" t="n">
        <f aca="false">AVERAGE(Datos_Importación!G2:G51)</f>
        <v>7.742</v>
      </c>
    </row>
    <row r="7" customFormat="false" ht="15" hidden="false" customHeight="false" outlineLevel="0" collapsed="false">
      <c r="A7" s="10" t="s">
        <v>126</v>
      </c>
      <c r="B7" s="12" t="n">
        <f aca="false">COUNTA(Datos_Importación!A2:A51)</f>
        <v>50</v>
      </c>
    </row>
    <row r="8" customFormat="false" ht="15" hidden="false" customHeight="false" outlineLevel="0" collapsed="false">
      <c r="A8" s="10" t="s">
        <v>127</v>
      </c>
      <c r="B8" s="11" t="n">
        <f aca="false">SUMIF(Datos_Importación!E2:E51,"México",Datos_Importación!H2:H51)</f>
        <v>36919.5</v>
      </c>
    </row>
    <row r="9" customFormat="false" ht="15" hidden="false" customHeight="false" outlineLevel="0" collapsed="false">
      <c r="A9" s="10" t="s">
        <v>128</v>
      </c>
      <c r="B9" s="13" t="str">
        <f aca="false">INDEX(Datos_Importación!C2:C51,MATCH(MAX(Datos_Importación!H2:H51),Datos_Importación!H2:H51,0))</f>
        <v>Mochilas</v>
      </c>
    </row>
    <row r="10" customFormat="false" ht="15" hidden="false" customHeight="false" outlineLevel="0" collapsed="false">
      <c r="A10" s="10" t="s">
        <v>129</v>
      </c>
      <c r="B10" s="11" t="n">
        <f aca="false">MAX(Datos_Importación!H2:H51)</f>
        <v>1912.5</v>
      </c>
    </row>
    <row r="12" customFormat="false" ht="15" hidden="false" customHeight="false" outlineLevel="0" collapsed="false">
      <c r="A12" s="14" t="s">
        <v>130</v>
      </c>
      <c r="B12" s="14"/>
      <c r="C12" s="14"/>
      <c r="D12" s="14"/>
    </row>
    <row r="13" customFormat="false" ht="15" hidden="false" customHeight="false" outlineLevel="0" collapsed="false">
      <c r="A13" s="15" t="s">
        <v>131</v>
      </c>
      <c r="B13" s="15"/>
      <c r="C13" s="15"/>
      <c r="D13" s="15"/>
    </row>
    <row r="14" customFormat="false" ht="30" hidden="false" customHeight="true" outlineLevel="0" collapsed="false">
      <c r="A14" s="16" t="str">
        <f aca="false">"El importe total de la operación es de $"&amp;TEXT(SUM(Datos_Importación!H2:H51),"#,##0.00")&amp;" USD."</f>
        <v>El importe total de la operación es de $40,359.00 USD.</v>
      </c>
      <c r="B14" s="16"/>
      <c r="C14" s="16"/>
      <c r="D14" s="16"/>
    </row>
    <row r="15" customFormat="false" ht="15" hidden="false" customHeight="false" outlineLevel="0" collapsed="false">
      <c r="A15" s="16"/>
      <c r="B15" s="16"/>
      <c r="C15" s="16"/>
      <c r="D15" s="16"/>
    </row>
    <row r="16" customFormat="false" ht="15" hidden="false" customHeight="false" outlineLevel="0" collapsed="false">
      <c r="A16" s="15" t="s">
        <v>132</v>
      </c>
      <c r="B16" s="15"/>
      <c r="C16" s="15"/>
      <c r="D16" s="15"/>
    </row>
    <row r="17" customFormat="false" ht="30" hidden="false" customHeight="true" outlineLevel="0" collapsed="false">
      <c r="A17" s="16" t="str">
        <f aca="false">"El producto con mayor importe es "&amp;INDEX(Datos_Importación!C2:C51,MATCH(MAX(Datos_Importación!H2:H51),Datos_Importación!H2:H51,0))&amp;", con un importe de $"&amp;TEXT(MAX(Datos_Importación!H2:H51),"#,##0.00")&amp;" USD."</f>
        <v>El producto con mayor importe es Mochilas, con un importe de $1,912.50 USD.</v>
      </c>
      <c r="B17" s="16"/>
      <c r="C17" s="16"/>
      <c r="D17" s="16"/>
    </row>
    <row r="18" customFormat="false" ht="15" hidden="false" customHeight="false" outlineLevel="0" collapsed="false">
      <c r="A18" s="16"/>
      <c r="B18" s="16"/>
      <c r="C18" s="16"/>
      <c r="D18" s="16"/>
    </row>
    <row r="19" customFormat="false" ht="15" hidden="false" customHeight="false" outlineLevel="0" collapsed="false">
      <c r="A19" s="15" t="s">
        <v>133</v>
      </c>
      <c r="B19" s="15"/>
      <c r="C19" s="15"/>
      <c r="D19" s="15"/>
    </row>
    <row r="20" customFormat="false" ht="30" hidden="false" customHeight="true" outlineLevel="0" collapsed="false">
      <c r="A20" s="16" t="str">
        <f aca="false">"El precio promedio de los productos es de $"&amp;TEXT(AVERAGE(Datos_Importación!G2:G51),"#,##0.00")&amp;" USD."</f>
        <v>El precio promedio de los productos es de $7.74 USD.</v>
      </c>
      <c r="B20" s="16"/>
      <c r="C20" s="16"/>
      <c r="D20" s="16"/>
    </row>
    <row r="21" customFormat="false" ht="15" hidden="false" customHeight="false" outlineLevel="0" collapsed="false">
      <c r="A21" s="16"/>
      <c r="B21" s="16"/>
      <c r="C21" s="16"/>
      <c r="D21" s="16"/>
    </row>
    <row r="22" customFormat="false" ht="15" hidden="false" customHeight="false" outlineLevel="0" collapsed="false">
      <c r="A22" s="15" t="s">
        <v>134</v>
      </c>
      <c r="B22" s="15"/>
      <c r="C22" s="15"/>
      <c r="D22" s="15"/>
    </row>
    <row r="23" customFormat="false" ht="15.75" hidden="false" customHeight="true" outlineLevel="0" collapsed="false">
      <c r="A23" s="16" t="str">
        <f aca="false">"Hay "&amp;COUNTA(Datos_Importación!A2:A51)&amp;" productos registrados en la operación."</f>
        <v>Hay 50 productos registrados en la operación.</v>
      </c>
      <c r="B23" s="16"/>
      <c r="C23" s="16"/>
      <c r="D23" s="16"/>
    </row>
    <row r="24" customFormat="false" ht="15" hidden="false" customHeight="false" outlineLevel="0" collapsed="false">
      <c r="A24" s="15" t="s">
        <v>135</v>
      </c>
      <c r="B24" s="15"/>
      <c r="C24" s="15"/>
      <c r="D24" s="15"/>
    </row>
    <row r="25" customFormat="false" ht="30" hidden="false" customHeight="true" outlineLevel="0" collapsed="false">
      <c r="A25" s="16" t="s">
        <v>136</v>
      </c>
      <c r="B25" s="16"/>
      <c r="C25" s="16"/>
      <c r="D25" s="16"/>
    </row>
    <row r="26" customFormat="false" ht="15" hidden="false" customHeight="false" outlineLevel="0" collapsed="false">
      <c r="A26" s="16"/>
      <c r="B26" s="16"/>
      <c r="C26" s="16"/>
      <c r="D26" s="16"/>
    </row>
  </sheetData>
  <mergeCells count="13">
    <mergeCell ref="A1:D1"/>
    <mergeCell ref="A2:D2"/>
    <mergeCell ref="A12:D12"/>
    <mergeCell ref="A13:D13"/>
    <mergeCell ref="A14:D15"/>
    <mergeCell ref="A16:D16"/>
    <mergeCell ref="A17:D18"/>
    <mergeCell ref="A19:D19"/>
    <mergeCell ref="A20:D21"/>
    <mergeCell ref="A22:D22"/>
    <mergeCell ref="A23:D23"/>
    <mergeCell ref="A24:D24"/>
    <mergeCell ref="A25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2026-09-15T18:58:39Z</dcterms:created>
  <dc:creator>openpyxl</dc:creator>
  <dc:description/>
  <dc:language>en-US</dc:language>
  <cp:lastModifiedBy>Cèsar Marìn</cp:lastModifiedBy>
  <dcterms:modified xsi:type="dcterms:W3CDTF">2026-09-22T13:40:08Z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